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ções" sheetId="1" r:id="rId5"/>
    <sheet state="visible" name="Custo Computacional" sheetId="2" r:id="rId6"/>
  </sheets>
  <definedNames/>
  <calcPr/>
</workbook>
</file>

<file path=xl/sharedStrings.xml><?xml version="1.0" encoding="utf-8"?>
<sst xmlns="http://schemas.openxmlformats.org/spreadsheetml/2006/main" count="88" uniqueCount="39">
  <si>
    <t xml:space="preserve">Laboratório </t>
  </si>
  <si>
    <t>Trutlebot</t>
  </si>
  <si>
    <t>Jackal</t>
  </si>
  <si>
    <t>IntelRealsense</t>
  </si>
  <si>
    <t>Orbslam3</t>
  </si>
  <si>
    <t>Midas</t>
  </si>
  <si>
    <t>Mapanything</t>
  </si>
  <si>
    <t>GPU</t>
  </si>
  <si>
    <t>Erro</t>
  </si>
  <si>
    <t>Memória RAM</t>
  </si>
  <si>
    <t>FPS</t>
  </si>
  <si>
    <t>Medido</t>
  </si>
  <si>
    <t>Corredor aquario  X</t>
  </si>
  <si>
    <t>Corredor aquario  Y</t>
  </si>
  <si>
    <t>Corredor copa Y</t>
  </si>
  <si>
    <t>Corredor copa X</t>
  </si>
  <si>
    <t>Corredor salas Y</t>
  </si>
  <si>
    <t>Mesa</t>
  </si>
  <si>
    <t>IntelRealSense</t>
  </si>
  <si>
    <t>MapAnything</t>
  </si>
  <si>
    <t>Nao</t>
  </si>
  <si>
    <t>-</t>
  </si>
  <si>
    <t>Garrafa</t>
  </si>
  <si>
    <t>Spam X</t>
  </si>
  <si>
    <t>Cubo Azul</t>
  </si>
  <si>
    <t>Cubo Verde</t>
  </si>
  <si>
    <t>Cubo Vermelho</t>
  </si>
  <si>
    <t xml:space="preserve">Chave de Fenda </t>
  </si>
  <si>
    <t>tinta Spray</t>
  </si>
  <si>
    <t>Placa amarela</t>
  </si>
  <si>
    <t>mesa</t>
  </si>
  <si>
    <t>sala</t>
  </si>
  <si>
    <t>Sala</t>
  </si>
  <si>
    <t>Quadro de Luz X</t>
  </si>
  <si>
    <t>Quadro de Luz Y</t>
  </si>
  <si>
    <t>Bandeira Liarc X</t>
  </si>
  <si>
    <t>Bandeira Liarc Y</t>
  </si>
  <si>
    <t>Extintor de incendio</t>
  </si>
  <si>
    <t>Armários 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</si>
</sst>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Border="1" applyFont="1"/>
    <xf borderId="6" fillId="0" fontId="3" numFmtId="0" xfId="0" applyAlignment="1" applyBorder="1" applyFont="1">
      <alignment horizontal="center" readingOrder="0"/>
    </xf>
    <xf borderId="7" fillId="0" fontId="2" numFmtId="0" xfId="0" applyBorder="1" applyFont="1"/>
    <xf borderId="8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4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6" fillId="0" fontId="4" numFmtId="0" xfId="0" applyAlignment="1" applyBorder="1" applyFont="1">
      <alignment horizontal="center" vertical="bottom"/>
    </xf>
    <xf borderId="8" fillId="0" fontId="5" numFmtId="0" xfId="0" applyAlignment="1" applyBorder="1" applyFont="1">
      <alignment horizontal="center" vertical="bottom"/>
    </xf>
    <xf borderId="8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8" fillId="0" fontId="1" numFmtId="0" xfId="0" applyBorder="1" applyFont="1"/>
    <xf borderId="1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.5"/>
    <col customWidth="1" min="3" max="3" width="12.25"/>
    <col customWidth="1" min="4" max="4" width="8.5"/>
    <col customWidth="1" min="5" max="5" width="9.75"/>
    <col customWidth="1" min="6" max="6" width="10.75"/>
  </cols>
  <sheetData>
    <row r="1">
      <c r="A1" s="2" t="s">
        <v>0</v>
      </c>
      <c r="B1" s="4"/>
      <c r="C1" s="4"/>
      <c r="D1" s="5"/>
      <c r="E1" s="6"/>
      <c r="F1" s="2" t="s">
        <v>8</v>
      </c>
      <c r="G1" s="5"/>
      <c r="H1" s="6"/>
      <c r="I1" s="2" t="s">
        <v>8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11</v>
      </c>
      <c r="C2" s="8" t="s">
        <v>1</v>
      </c>
      <c r="D2" s="8" t="s">
        <v>2</v>
      </c>
      <c r="F2" s="8" t="s">
        <v>1</v>
      </c>
      <c r="G2" s="8" t="s">
        <v>2</v>
      </c>
      <c r="I2" s="8" t="s">
        <v>1</v>
      </c>
      <c r="J2" s="8" t="s">
        <v>2</v>
      </c>
    </row>
    <row r="3">
      <c r="A3" s="3" t="s">
        <v>12</v>
      </c>
      <c r="B3" s="8">
        <v>313.0</v>
      </c>
      <c r="C3" s="8">
        <v>323.0</v>
      </c>
      <c r="D3" s="8">
        <v>304.0</v>
      </c>
      <c r="F3" s="1">
        <f t="shared" ref="F3:F7" si="1"> ABS((B3 - C3)*100/B3)</f>
        <v>3.194888179</v>
      </c>
      <c r="G3" s="1">
        <f t="shared" ref="G3:G7" si="2"> ABS((B3 - D3)*100/B3)</f>
        <v>2.875399361</v>
      </c>
      <c r="I3" s="8">
        <v>6.24</v>
      </c>
      <c r="J3" s="8">
        <v>5.74</v>
      </c>
    </row>
    <row r="4">
      <c r="A4" s="3" t="s">
        <v>13</v>
      </c>
      <c r="B4" s="8">
        <v>120.0</v>
      </c>
      <c r="C4" s="8">
        <v>124.0</v>
      </c>
      <c r="D4" s="8">
        <v>128.0</v>
      </c>
      <c r="F4" s="1">
        <f t="shared" si="1"/>
        <v>3.333333333</v>
      </c>
      <c r="G4" s="1">
        <f t="shared" si="2"/>
        <v>6.666666667</v>
      </c>
    </row>
    <row r="5">
      <c r="A5" s="3" t="s">
        <v>14</v>
      </c>
      <c r="B5" s="8">
        <v>591.0</v>
      </c>
      <c r="C5" s="8">
        <v>550.0</v>
      </c>
      <c r="D5" s="8">
        <v>590.0</v>
      </c>
      <c r="F5" s="1">
        <f t="shared" si="1"/>
        <v>6.937394247</v>
      </c>
      <c r="G5" s="1">
        <f t="shared" si="2"/>
        <v>0.1692047377</v>
      </c>
    </row>
    <row r="6">
      <c r="A6" s="3" t="s">
        <v>15</v>
      </c>
      <c r="B6" s="8">
        <v>123.0</v>
      </c>
      <c r="C6" s="8">
        <v>119.0</v>
      </c>
      <c r="D6" s="8">
        <v>136.0</v>
      </c>
      <c r="F6" s="1">
        <f t="shared" si="1"/>
        <v>3.25203252</v>
      </c>
      <c r="G6" s="1">
        <f t="shared" si="2"/>
        <v>10.56910569</v>
      </c>
    </row>
    <row r="7">
      <c r="A7" s="9" t="s">
        <v>16</v>
      </c>
      <c r="B7" s="10">
        <v>448.0</v>
      </c>
      <c r="C7" s="10">
        <v>400.0</v>
      </c>
      <c r="D7" s="10">
        <v>450.0</v>
      </c>
      <c r="F7" s="11">
        <f t="shared" si="1"/>
        <v>10.71428571</v>
      </c>
      <c r="G7" s="11">
        <f t="shared" si="2"/>
        <v>0.4464285714</v>
      </c>
    </row>
    <row r="8">
      <c r="A8" s="12" t="s">
        <v>8</v>
      </c>
      <c r="B8" s="13"/>
      <c r="C8" s="14"/>
      <c r="D8" s="14"/>
      <c r="F8" s="15">
        <f t="array" ref="F8">SQRT(AVERAGE(F3:F7^2))</f>
        <v>6.242074886</v>
      </c>
      <c r="G8" s="15">
        <f t="array" ref="G8">SQRT(AVERAGE(G3:G7^2))</f>
        <v>5.738402038</v>
      </c>
    </row>
    <row r="9">
      <c r="B9" s="6"/>
      <c r="C9" s="6"/>
      <c r="D9" s="6"/>
    </row>
    <row r="10">
      <c r="A10" s="2" t="s">
        <v>17</v>
      </c>
      <c r="B10" s="4"/>
      <c r="C10" s="4"/>
      <c r="D10" s="4"/>
      <c r="E10" s="4"/>
      <c r="F10" s="5"/>
      <c r="H10" s="2" t="s">
        <v>8</v>
      </c>
      <c r="I10" s="4"/>
      <c r="J10" s="4"/>
      <c r="K10" s="5"/>
    </row>
    <row r="11">
      <c r="A11" s="1"/>
      <c r="B11" s="8" t="s">
        <v>11</v>
      </c>
      <c r="C11" s="8" t="s">
        <v>18</v>
      </c>
      <c r="D11" s="8"/>
      <c r="E11" s="3" t="s">
        <v>5</v>
      </c>
      <c r="F11" s="3" t="s">
        <v>19</v>
      </c>
      <c r="H11" s="8" t="s">
        <v>18</v>
      </c>
      <c r="I11" s="8"/>
      <c r="J11" s="3" t="s">
        <v>5</v>
      </c>
      <c r="K11" s="3" t="s">
        <v>19</v>
      </c>
    </row>
    <row r="12">
      <c r="A12" s="3" t="s">
        <v>20</v>
      </c>
      <c r="B12" s="8">
        <v>45.0</v>
      </c>
      <c r="C12" s="8">
        <v>48.0</v>
      </c>
      <c r="D12" s="8" t="s">
        <v>21</v>
      </c>
      <c r="E12" s="3" t="s">
        <v>21</v>
      </c>
      <c r="F12" s="3">
        <v>58.0</v>
      </c>
      <c r="H12" s="1">
        <f t="shared" ref="H12:H20" si="3"> ABS((B12 - C12)*100/B12)</f>
        <v>6.666666667</v>
      </c>
      <c r="I12" s="1"/>
      <c r="J12" s="1"/>
      <c r="K12" s="1">
        <f t="shared" ref="K12:K20" si="4"> ABS((B12 - F12)*100/B12)</f>
        <v>28.88888889</v>
      </c>
    </row>
    <row r="13">
      <c r="A13" s="3" t="s">
        <v>22</v>
      </c>
      <c r="B13" s="8">
        <v>17.0</v>
      </c>
      <c r="C13" s="8">
        <v>25.0</v>
      </c>
      <c r="D13" s="8" t="s">
        <v>21</v>
      </c>
      <c r="E13" s="3" t="s">
        <v>21</v>
      </c>
      <c r="F13" s="3">
        <v>15.0</v>
      </c>
      <c r="H13" s="1">
        <f t="shared" si="3"/>
        <v>47.05882353</v>
      </c>
      <c r="I13" s="1"/>
      <c r="J13" s="1"/>
      <c r="K13" s="1">
        <f t="shared" si="4"/>
        <v>11.76470588</v>
      </c>
    </row>
    <row r="14">
      <c r="A14" s="3" t="s">
        <v>23</v>
      </c>
      <c r="B14" s="8">
        <v>9.7</v>
      </c>
      <c r="C14" s="8">
        <v>13.0</v>
      </c>
      <c r="D14" s="8" t="s">
        <v>21</v>
      </c>
      <c r="E14" s="3" t="s">
        <v>21</v>
      </c>
      <c r="F14" s="3">
        <v>12.0</v>
      </c>
      <c r="H14" s="1">
        <f t="shared" si="3"/>
        <v>34.02061856</v>
      </c>
      <c r="I14" s="1"/>
      <c r="J14" s="1"/>
      <c r="K14" s="1">
        <f t="shared" si="4"/>
        <v>23.71134021</v>
      </c>
    </row>
    <row r="15">
      <c r="A15" s="3" t="s">
        <v>24</v>
      </c>
      <c r="B15" s="8">
        <v>2.5</v>
      </c>
      <c r="C15" s="8">
        <v>1.1</v>
      </c>
      <c r="D15" s="8" t="s">
        <v>21</v>
      </c>
      <c r="E15" s="3" t="s">
        <v>21</v>
      </c>
      <c r="F15" s="3">
        <v>5.7</v>
      </c>
      <c r="H15" s="1">
        <f t="shared" si="3"/>
        <v>56</v>
      </c>
      <c r="I15" s="1"/>
      <c r="J15" s="1"/>
      <c r="K15" s="1">
        <f t="shared" si="4"/>
        <v>128</v>
      </c>
    </row>
    <row r="16">
      <c r="A16" s="3" t="s">
        <v>25</v>
      </c>
      <c r="B16" s="8">
        <v>2.5</v>
      </c>
      <c r="C16" s="8">
        <v>4.0</v>
      </c>
      <c r="D16" s="8" t="s">
        <v>21</v>
      </c>
      <c r="E16" s="3" t="s">
        <v>21</v>
      </c>
      <c r="F16" s="3">
        <v>5.6</v>
      </c>
      <c r="H16" s="1">
        <f t="shared" si="3"/>
        <v>60</v>
      </c>
      <c r="I16" s="1"/>
      <c r="J16" s="1"/>
      <c r="K16" s="1">
        <f t="shared" si="4"/>
        <v>124</v>
      </c>
    </row>
    <row r="17">
      <c r="A17" s="3" t="s">
        <v>26</v>
      </c>
      <c r="B17" s="8">
        <v>2.5</v>
      </c>
      <c r="C17" s="8">
        <v>1.5</v>
      </c>
      <c r="D17" s="8" t="s">
        <v>21</v>
      </c>
      <c r="E17" s="3" t="s">
        <v>21</v>
      </c>
      <c r="F17" s="3">
        <v>4.6</v>
      </c>
      <c r="H17" s="1">
        <f t="shared" si="3"/>
        <v>40</v>
      </c>
      <c r="I17" s="1"/>
      <c r="J17" s="1"/>
      <c r="K17" s="1">
        <f t="shared" si="4"/>
        <v>84</v>
      </c>
    </row>
    <row r="18">
      <c r="A18" s="3" t="s">
        <v>27</v>
      </c>
      <c r="B18" s="8">
        <v>25.5</v>
      </c>
      <c r="C18" s="8">
        <v>23.0</v>
      </c>
      <c r="D18" s="8" t="s">
        <v>21</v>
      </c>
      <c r="E18" s="3" t="s">
        <v>21</v>
      </c>
      <c r="F18" s="3">
        <v>29.0</v>
      </c>
      <c r="H18" s="1">
        <f t="shared" si="3"/>
        <v>9.803921569</v>
      </c>
      <c r="I18" s="1"/>
      <c r="J18" s="1"/>
      <c r="K18" s="1">
        <f t="shared" si="4"/>
        <v>13.7254902</v>
      </c>
    </row>
    <row r="19">
      <c r="A19" s="3" t="s">
        <v>28</v>
      </c>
      <c r="B19" s="8">
        <v>24.0</v>
      </c>
      <c r="C19" s="8">
        <v>20.0</v>
      </c>
      <c r="D19" s="8" t="s">
        <v>21</v>
      </c>
      <c r="E19" s="3" t="s">
        <v>21</v>
      </c>
      <c r="F19" s="3">
        <v>27.0</v>
      </c>
      <c r="H19" s="1">
        <f t="shared" si="3"/>
        <v>16.66666667</v>
      </c>
      <c r="I19" s="1"/>
      <c r="J19" s="1"/>
      <c r="K19" s="1">
        <f t="shared" si="4"/>
        <v>12.5</v>
      </c>
      <c r="M19" s="7"/>
      <c r="N19" s="8" t="s">
        <v>18</v>
      </c>
      <c r="O19" s="8" t="s">
        <v>5</v>
      </c>
      <c r="P19" s="8" t="s">
        <v>19</v>
      </c>
    </row>
    <row r="20">
      <c r="A20" s="16" t="s">
        <v>29</v>
      </c>
      <c r="B20" s="16">
        <v>27.0</v>
      </c>
      <c r="C20" s="17">
        <v>24.0</v>
      </c>
      <c r="D20" s="18"/>
      <c r="E20" s="19"/>
      <c r="F20" s="20">
        <v>32.0</v>
      </c>
      <c r="H20" s="11">
        <f t="shared" si="3"/>
        <v>11.11111111</v>
      </c>
      <c r="I20" s="11"/>
      <c r="J20" s="11"/>
      <c r="K20" s="11">
        <f t="shared" si="4"/>
        <v>18.51851852</v>
      </c>
      <c r="M20" s="8" t="s">
        <v>30</v>
      </c>
      <c r="N20" s="8">
        <v>36.89</v>
      </c>
      <c r="O20" s="8" t="s">
        <v>21</v>
      </c>
      <c r="P20" s="8">
        <v>67.53</v>
      </c>
    </row>
    <row r="21">
      <c r="A21" s="21" t="s">
        <v>8</v>
      </c>
      <c r="B21" s="13"/>
      <c r="C21" s="22"/>
      <c r="D21" s="23"/>
      <c r="E21" s="24"/>
      <c r="F21" s="24"/>
      <c r="H21" s="25">
        <f t="array" ref="H21">SQRT(AVERAGE(H12:H20^2))</f>
        <v>36.89283467</v>
      </c>
      <c r="I21" s="25">
        <f t="array" ref="I21">SQRT(AVERAGE(I12:I20^2))</f>
        <v>0</v>
      </c>
      <c r="J21" s="25">
        <f t="array" ref="J21">SQRT(AVERAGE(J12:J20^2))</f>
        <v>0</v>
      </c>
      <c r="K21" s="25">
        <f t="array" ref="K21">SQRT(AVERAGE(K12:K20^2))</f>
        <v>67.5267671</v>
      </c>
      <c r="M21" s="8" t="s">
        <v>31</v>
      </c>
      <c r="N21" s="8">
        <v>2.11</v>
      </c>
      <c r="O21" s="8">
        <v>15.17</v>
      </c>
      <c r="P21" s="8">
        <v>5.5</v>
      </c>
    </row>
    <row r="22">
      <c r="C22" s="6"/>
    </row>
    <row r="23">
      <c r="A23" s="2" t="s">
        <v>32</v>
      </c>
      <c r="B23" s="4"/>
      <c r="C23" s="4"/>
      <c r="D23" s="4"/>
      <c r="E23" s="4"/>
      <c r="F23" s="5"/>
      <c r="H23" s="2" t="s">
        <v>8</v>
      </c>
      <c r="I23" s="4"/>
      <c r="J23" s="4"/>
      <c r="K23" s="5"/>
    </row>
    <row r="24">
      <c r="A24" s="1"/>
      <c r="B24" s="8" t="s">
        <v>11</v>
      </c>
      <c r="C24" s="8" t="s">
        <v>18</v>
      </c>
      <c r="D24" s="8"/>
      <c r="E24" s="3" t="s">
        <v>5</v>
      </c>
      <c r="F24" s="3" t="s">
        <v>19</v>
      </c>
      <c r="H24" s="8" t="s">
        <v>18</v>
      </c>
      <c r="I24" s="8"/>
      <c r="J24" s="3" t="s">
        <v>5</v>
      </c>
      <c r="K24" s="3" t="s">
        <v>19</v>
      </c>
    </row>
    <row r="25">
      <c r="A25" s="3" t="s">
        <v>33</v>
      </c>
      <c r="B25" s="8">
        <v>59.5</v>
      </c>
      <c r="C25" s="8">
        <v>59.0</v>
      </c>
      <c r="D25" s="8" t="s">
        <v>21</v>
      </c>
      <c r="E25" s="3">
        <v>60.0</v>
      </c>
      <c r="F25" s="3">
        <v>60.0</v>
      </c>
      <c r="H25" s="1">
        <f t="shared" ref="H25:H30" si="5"> ABS((B25 - C25)*100/B25)</f>
        <v>0.8403361345</v>
      </c>
      <c r="I25" s="1"/>
      <c r="J25" s="1">
        <f t="shared" ref="J25:J30" si="6"> ABS((B25 - E25)*100/B25)</f>
        <v>0.8403361345</v>
      </c>
      <c r="K25" s="1">
        <f t="shared" ref="K25:K30" si="7"> ABS((B25 - F25)*100/B25)</f>
        <v>0.8403361345</v>
      </c>
    </row>
    <row r="26">
      <c r="A26" s="3" t="s">
        <v>34</v>
      </c>
      <c r="B26" s="8">
        <v>80.0</v>
      </c>
      <c r="C26" s="8">
        <v>79.0</v>
      </c>
      <c r="D26" s="8" t="s">
        <v>21</v>
      </c>
      <c r="E26" s="3">
        <v>90.0</v>
      </c>
      <c r="F26" s="3">
        <v>78.0</v>
      </c>
      <c r="H26" s="1">
        <f t="shared" si="5"/>
        <v>1.25</v>
      </c>
      <c r="I26" s="1"/>
      <c r="J26" s="1">
        <f t="shared" si="6"/>
        <v>12.5</v>
      </c>
      <c r="K26" s="1">
        <f t="shared" si="7"/>
        <v>2.5</v>
      </c>
    </row>
    <row r="27">
      <c r="A27" s="3" t="s">
        <v>35</v>
      </c>
      <c r="B27" s="8">
        <v>123.0</v>
      </c>
      <c r="C27" s="8">
        <v>117.0</v>
      </c>
      <c r="D27" s="8" t="s">
        <v>21</v>
      </c>
      <c r="E27" s="3">
        <v>89.0</v>
      </c>
      <c r="F27" s="3">
        <v>133.0</v>
      </c>
      <c r="H27" s="1">
        <f t="shared" si="5"/>
        <v>4.87804878</v>
      </c>
      <c r="I27" s="1"/>
      <c r="J27" s="1">
        <f t="shared" si="6"/>
        <v>27.64227642</v>
      </c>
      <c r="K27" s="1">
        <f t="shared" si="7"/>
        <v>8.130081301</v>
      </c>
    </row>
    <row r="28">
      <c r="A28" s="3" t="s">
        <v>36</v>
      </c>
      <c r="B28" s="8">
        <v>86.5</v>
      </c>
      <c r="C28" s="8">
        <v>86.0</v>
      </c>
      <c r="D28" s="8" t="s">
        <v>21</v>
      </c>
      <c r="E28" s="3">
        <v>82.0</v>
      </c>
      <c r="F28" s="3">
        <v>85.0</v>
      </c>
      <c r="H28" s="1">
        <f t="shared" si="5"/>
        <v>0.5780346821</v>
      </c>
      <c r="I28" s="1"/>
      <c r="J28" s="1">
        <f t="shared" si="6"/>
        <v>5.202312139</v>
      </c>
      <c r="K28" s="1">
        <f t="shared" si="7"/>
        <v>1.734104046</v>
      </c>
    </row>
    <row r="29">
      <c r="A29" s="3" t="s">
        <v>37</v>
      </c>
      <c r="B29" s="8">
        <v>60.0</v>
      </c>
      <c r="C29" s="8">
        <v>60.0</v>
      </c>
      <c r="D29" s="8" t="s">
        <v>21</v>
      </c>
      <c r="E29" s="3">
        <v>48.0</v>
      </c>
      <c r="F29" s="3">
        <v>54.0</v>
      </c>
      <c r="H29" s="1">
        <f t="shared" si="5"/>
        <v>0</v>
      </c>
      <c r="I29" s="1"/>
      <c r="J29" s="1">
        <f t="shared" si="6"/>
        <v>20</v>
      </c>
      <c r="K29" s="1">
        <f t="shared" si="7"/>
        <v>10</v>
      </c>
    </row>
    <row r="30">
      <c r="A30" s="3" t="s">
        <v>38</v>
      </c>
      <c r="B30" s="8">
        <v>176.0</v>
      </c>
      <c r="C30" s="8">
        <v>177.0</v>
      </c>
      <c r="D30" s="8" t="s">
        <v>21</v>
      </c>
      <c r="E30" s="9">
        <v>186.0</v>
      </c>
      <c r="F30" s="9">
        <v>180.0</v>
      </c>
      <c r="H30" s="11">
        <f t="shared" si="5"/>
        <v>0.5681818182</v>
      </c>
      <c r="I30" s="11"/>
      <c r="J30" s="11">
        <f t="shared" si="6"/>
        <v>5.681818182</v>
      </c>
      <c r="K30" s="11">
        <f t="shared" si="7"/>
        <v>2.272727273</v>
      </c>
    </row>
    <row r="31">
      <c r="A31" s="12" t="s">
        <v>8</v>
      </c>
      <c r="B31" s="13"/>
      <c r="C31" s="14"/>
      <c r="D31" s="14"/>
      <c r="E31" s="26"/>
      <c r="F31" s="26"/>
      <c r="H31" s="25">
        <f t="array" ref="H31">SQRT(AVERAGE(H25:H30^2))</f>
        <v>2.110330914</v>
      </c>
      <c r="I31" s="25">
        <f t="array" ref="I31">SQRT(AVERAGE(I25:I30^2))</f>
        <v>0</v>
      </c>
      <c r="J31" s="25">
        <f t="array" ref="J31">SQRT(AVERAGE(J25:J30^2))</f>
        <v>15.16794163</v>
      </c>
      <c r="K31" s="25">
        <f t="array" ref="K31">SQRT(AVERAGE(K25:K30^2))</f>
        <v>5.495858939</v>
      </c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</sheetData>
  <mergeCells count="10">
    <mergeCell ref="A23:F23"/>
    <mergeCell ref="H23:K23"/>
    <mergeCell ref="A31:B31"/>
    <mergeCell ref="A1:D1"/>
    <mergeCell ref="F1:G1"/>
    <mergeCell ref="I1:J1"/>
    <mergeCell ref="A8:B8"/>
    <mergeCell ref="A10:F10"/>
    <mergeCell ref="H10:K10"/>
    <mergeCell ref="A21:B2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3" t="s">
        <v>7</v>
      </c>
      <c r="B2" s="1"/>
      <c r="C2" s="1"/>
      <c r="D2" s="1"/>
      <c r="E2" s="1"/>
      <c r="F2" s="1"/>
      <c r="G2" s="1"/>
    </row>
    <row r="3">
      <c r="A3" s="3" t="s">
        <v>9</v>
      </c>
      <c r="B3" s="1"/>
      <c r="C3" s="1"/>
      <c r="D3" s="1"/>
      <c r="E3" s="1"/>
      <c r="F3" s="1"/>
      <c r="G3" s="1"/>
    </row>
    <row r="4">
      <c r="A4" s="3" t="s">
        <v>10</v>
      </c>
      <c r="B4" s="1"/>
      <c r="C4" s="1"/>
      <c r="D4" s="1"/>
      <c r="E4" s="1"/>
      <c r="F4" s="1"/>
      <c r="G4" s="1"/>
    </row>
    <row r="7">
      <c r="I7" s="1"/>
    </row>
  </sheetData>
  <drawing r:id="rId1"/>
</worksheet>
</file>